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995322120f2bdd/Documents/"/>
    </mc:Choice>
  </mc:AlternateContent>
  <xr:revisionPtr revIDLastSave="0" documentId="8_{2995E1E1-80A6-47CE-8A00-8F00CEF3348B}" xr6:coauthVersionLast="47" xr6:coauthVersionMax="47" xr10:uidLastSave="{00000000-0000-0000-0000-000000000000}"/>
  <bookViews>
    <workbookView xWindow="0" yWindow="0" windowWidth="23040" windowHeight="13680" xr2:uid="{C1F5B0A8-6B02-4329-8FBE-137C6657D45F}"/>
  </bookViews>
  <sheets>
    <sheet name="Sheet1" sheetId="1" r:id="rId1"/>
  </sheets>
  <definedNames>
    <definedName name="_xlnm._FilterDatabase" localSheetId="0" hidden="1">Sheet1!$A$1:$G$12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5" i="1"/>
  <c r="G5" i="1" a="1"/>
  <c r="G5" i="1" s="1"/>
  <c r="G10" i="1" a="1"/>
  <c r="G10" i="1"/>
  <c r="G3" i="1" a="1"/>
  <c r="G3" i="1"/>
  <c r="G9" i="1" a="1"/>
  <c r="G9" i="1"/>
  <c r="G6" i="1" a="1"/>
  <c r="G6" i="1"/>
  <c r="G2" i="1" a="1"/>
  <c r="G2" i="1"/>
  <c r="G7" i="1" a="1"/>
  <c r="G7" i="1" s="1"/>
  <c r="G4" i="1" a="1"/>
  <c r="G4" i="1"/>
  <c r="G11" i="1" a="1"/>
  <c r="G11" i="1"/>
  <c r="G8" i="1" a="1"/>
  <c r="G8" i="1"/>
  <c r="D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<sst xmlns="http://schemas.openxmlformats.org/spreadsheetml/2006/main" count="19" uniqueCount="19">
  <si>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Student Name</t>
  </si>
  <si>
    <t>Subject 1</t>
  </si>
  <si>
    <t>Subject 2</t>
  </si>
  <si>
    <t>Subject 3</t>
  </si>
  <si>
    <t>Total Marks</t>
  </si>
  <si>
    <t>Average Marks</t>
  </si>
  <si>
    <t>Grade</t>
  </si>
  <si>
    <t>Rahul</t>
  </si>
  <si>
    <t>Sneha</t>
  </si>
  <si>
    <t>Varsha</t>
  </si>
  <si>
    <t>Kiran</t>
  </si>
  <si>
    <t>Anjali</t>
  </si>
  <si>
    <t>Rohit</t>
  </si>
  <si>
    <t>Pooja</t>
  </si>
  <si>
    <t>Arjun</t>
  </si>
  <si>
    <t>Meena</t>
  </si>
  <si>
    <t>Vikram</t>
  </si>
  <si>
    <r>
      <t xml:space="preserve">Calculate </t>
    </r>
    <r>
      <rPr>
        <b/>
        <sz val="11"/>
        <color rgb="FF000000"/>
        <rFont val="Arial"/>
        <family val="2"/>
      </rPr>
      <t>Total Marks</t>
    </r>
    <r>
      <rPr>
        <sz val="11"/>
        <color rgb="FF000000"/>
        <rFont val="Arial"/>
        <family val="2"/>
      </rPr>
      <t xml:space="preserve"> using SUM</t>
    </r>
  </si>
  <si>
    <r>
      <t xml:space="preserve">Calculate </t>
    </r>
    <r>
      <rPr>
        <b/>
        <sz val="11"/>
        <color rgb="FF000000"/>
        <rFont val="Arial"/>
        <family val="2"/>
      </rPr>
      <t>Average Marks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</si>
</sst>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1" fillId="2" borderId="1" xfId="0" applyFont="1" applyFill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1933-E076-4945-AF55-87589ED2433A}">
  <dimension ref="A1:G19"/>
  <sheetViews>
    <sheetView tabSelected="1" workbookViewId="0">
      <selection activeCell="K18" sqref="K18"/>
    </sheetView>
  </sheetViews>
  <sheetFormatPr defaultRowHeight="14.4" x14ac:dyDescent="0.3"/>
  <cols>
    <col min="1" max="1" width="12.88671875" bestFit="1" customWidth="1"/>
    <col min="2" max="2" width="8.6640625" customWidth="1"/>
    <col min="5" max="5" width="10.44140625" bestFit="1" customWidth="1"/>
    <col min="6" max="6" width="12.8867187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x14ac:dyDescent="0.3">
      <c r="A2" s="2" t="s">
        <v>13</v>
      </c>
      <c r="B2" s="3">
        <v>45</v>
      </c>
      <c r="C2" s="3">
        <v>52</v>
      </c>
      <c r="D2" s="3">
        <v>48</v>
      </c>
      <c r="E2" s="3">
        <v>145</v>
      </c>
      <c r="F2" s="3">
        <v>48.33</v>
      </c>
      <c r="G2" s="4" t="str" cm="1">
        <f t="array" ref="G2">_xlfn.IFS(F2&gt;=90,"A",F2&gt;=75,"B",F2&gt;=50,"C",F2&lt;50,"FAIL")</f>
        <v>FAIL</v>
      </c>
    </row>
    <row r="3" spans="1:7" x14ac:dyDescent="0.3">
      <c r="A3" s="2" t="s">
        <v>10</v>
      </c>
      <c r="B3" s="3">
        <v>56</v>
      </c>
      <c r="C3" s="3">
        <v>62</v>
      </c>
      <c r="D3" s="3">
        <v>59</v>
      </c>
      <c r="E3" s="3">
        <v>177</v>
      </c>
      <c r="F3" s="3">
        <v>59</v>
      </c>
      <c r="G3" s="4" t="str" cm="1">
        <f t="array" ref="G3">_xlfn.IFS(F3&gt;=90,"A",F3&gt;=75,"B",F3&gt;=50,"C",F3&lt;50,"FAIL")</f>
        <v>C</v>
      </c>
    </row>
    <row r="4" spans="1:7" x14ac:dyDescent="0.3">
      <c r="A4" s="2" t="s">
        <v>15</v>
      </c>
      <c r="B4" s="3">
        <v>60</v>
      </c>
      <c r="C4" s="3">
        <v>58</v>
      </c>
      <c r="D4" s="3">
        <v>64</v>
      </c>
      <c r="E4" s="3">
        <v>182</v>
      </c>
      <c r="F4" s="3">
        <v>60.67</v>
      </c>
      <c r="G4" s="4" t="str" cm="1">
        <f t="array" ref="G4">_xlfn.IFS(F4&gt;=90,"A",F4&gt;=75,"B",F4&gt;=50,"C",F4&lt;50,"FAIL")</f>
        <v>C</v>
      </c>
    </row>
    <row r="5" spans="1:7" x14ac:dyDescent="0.3">
      <c r="A5" s="2" t="s">
        <v>8</v>
      </c>
      <c r="B5" s="3">
        <v>67</v>
      </c>
      <c r="C5" s="3">
        <v>74</v>
      </c>
      <c r="D5" s="3">
        <v>70</v>
      </c>
      <c r="E5" s="3">
        <v>211</v>
      </c>
      <c r="F5" s="3">
        <v>70.33</v>
      </c>
      <c r="G5" s="4" t="str" cm="1">
        <f t="array" ref="G5">_xlfn.IFS(F5&gt;=90,"A",F5&gt;=75,"B",F5&gt;=50,"C",F5&lt;50,"FAIL")</f>
        <v>C</v>
      </c>
    </row>
    <row r="6" spans="1:7" x14ac:dyDescent="0.3">
      <c r="A6" s="2" t="s">
        <v>12</v>
      </c>
      <c r="B6" s="3">
        <v>72</v>
      </c>
      <c r="C6" s="3">
        <v>68</v>
      </c>
      <c r="D6" s="3">
        <v>75</v>
      </c>
      <c r="E6" s="3">
        <v>215</v>
      </c>
      <c r="F6" s="3">
        <v>71.67</v>
      </c>
      <c r="G6" s="4" t="str" cm="1">
        <f t="array" ref="G6">_xlfn.IFS(F6&gt;=90,"A",F6&gt;=75,"B",F6&gt;=50,"C",F6&lt;50,"FAIL")</f>
        <v>C</v>
      </c>
    </row>
    <row r="7" spans="1:7" x14ac:dyDescent="0.3">
      <c r="A7" s="2" t="s">
        <v>14</v>
      </c>
      <c r="B7" s="3">
        <v>81</v>
      </c>
      <c r="C7" s="3">
        <v>79</v>
      </c>
      <c r="D7" s="3">
        <v>84</v>
      </c>
      <c r="E7" s="3">
        <v>244</v>
      </c>
      <c r="F7" s="3">
        <v>81.33</v>
      </c>
      <c r="G7" s="4" t="str" cm="1">
        <f t="array" ref="G7">_xlfn.IFS(F7&gt;=90,"A",F7&gt;=75,"B",F7&gt;=50,"C",F7&lt;50,"FAIL")</f>
        <v>B</v>
      </c>
    </row>
    <row r="8" spans="1:7" x14ac:dyDescent="0.3">
      <c r="A8" s="2" t="s">
        <v>7</v>
      </c>
      <c r="B8" s="3">
        <v>85</v>
      </c>
      <c r="C8" s="3">
        <v>78</v>
      </c>
      <c r="D8" s="3">
        <v>92</v>
      </c>
      <c r="E8" s="3">
        <v>255</v>
      </c>
      <c r="F8" s="3">
        <v>85</v>
      </c>
      <c r="G8" s="4" t="str" cm="1">
        <f t="array" ref="G8">_xlfn.IFS(F8&gt;=90,"A",F8&gt;=75,"B",F8&gt;=50,"C",F8&lt;50,"FAIL")</f>
        <v>B</v>
      </c>
    </row>
    <row r="9" spans="1:7" x14ac:dyDescent="0.3">
      <c r="A9" s="2" t="s">
        <v>11</v>
      </c>
      <c r="B9" s="3">
        <v>89</v>
      </c>
      <c r="C9" s="3">
        <v>93</v>
      </c>
      <c r="D9" s="3">
        <v>90</v>
      </c>
      <c r="E9" s="3">
        <v>272</v>
      </c>
      <c r="F9" s="3">
        <v>90.67</v>
      </c>
      <c r="G9" s="4" t="str" cm="1">
        <f t="array" ref="G9">_xlfn.IFS(F9&gt;=90,"A",F9&gt;=75,"B",F9&gt;=50,"C",F9&lt;50,"FAIL")</f>
        <v>A</v>
      </c>
    </row>
    <row r="10" spans="1:7" x14ac:dyDescent="0.3">
      <c r="A10" s="2" t="s">
        <v>9</v>
      </c>
      <c r="B10" s="3">
        <v>95</v>
      </c>
      <c r="C10" s="3">
        <v>88</v>
      </c>
      <c r="D10" s="3">
        <v>91</v>
      </c>
      <c r="E10" s="3">
        <v>274</v>
      </c>
      <c r="F10" s="3">
        <v>91.33</v>
      </c>
      <c r="G10" s="4" t="str" cm="1">
        <f t="array" ref="G10">_xlfn.IFS(F10&gt;=90,"A",F10&gt;=75,"B",F10&gt;=50,"C",F10&lt;50,"FAIL")</f>
        <v>A</v>
      </c>
    </row>
    <row r="11" spans="1:7" ht="15" thickBot="1" x14ac:dyDescent="0.35">
      <c r="A11" s="7" t="s">
        <v>16</v>
      </c>
      <c r="B11" s="8">
        <v>98</v>
      </c>
      <c r="C11" s="8">
        <v>94</v>
      </c>
      <c r="D11" s="8">
        <v>96</v>
      </c>
      <c r="E11" s="8">
        <v>288</v>
      </c>
      <c r="F11" s="8">
        <v>96</v>
      </c>
      <c r="G11" s="9" t="str" cm="1">
        <f t="array" ref="G11">_xlfn.IFS(F11&gt;=90,"A",F11&gt;=75,"B",F11&gt;=50,"C",F11&lt;50,"FAIL")</f>
        <v>A</v>
      </c>
    </row>
    <row r="12" spans="1:7" ht="15" thickBot="1" x14ac:dyDescent="0.35">
      <c r="A12" s="10"/>
      <c r="B12" s="11"/>
      <c r="C12" s="11"/>
      <c r="D12" s="11"/>
      <c r="E12" s="11">
        <f>SUBTOTAL(9,E2:E11)</f>
        <v>2263</v>
      </c>
      <c r="F12" s="11">
        <f>SUBTOTAL(1,F2:F11)</f>
        <v>75.433000000000007</v>
      </c>
      <c r="G12" s="12"/>
    </row>
    <row r="15" spans="1:7" x14ac:dyDescent="0.3">
      <c r="A15" s="1" t="s">
        <v>17</v>
      </c>
      <c r="D15">
        <f>SUM(E2:E11)</f>
        <v>2263</v>
      </c>
    </row>
    <row r="19" spans="1:4" x14ac:dyDescent="0.3">
      <c r="A19" s="1" t="s">
        <v>18</v>
      </c>
      <c r="D19">
        <f>AVERAGE(F2:F11)</f>
        <v>75.433000000000007</v>
      </c>
    </row>
  </sheetData>
  <autoFilter ref="A1:G12" xr:uid="{1F1F1933-E076-4945-AF55-87589ED2433A}">
    <sortState xmlns:xlrd2="http://schemas.microsoft.com/office/spreadsheetml/2017/richdata2" ref="A2:G12">
      <sortCondition ref="E1"/>
    </sortState>
  </autoFilter>
  <conditionalFormatting sqref="E2:E11">
    <cfRule type="expression" priority="3">
      <formula>"E2=max($E$2:$E$11)"</formula>
    </cfRule>
    <cfRule type="expression" priority="2">
      <formula>$E2=MAX($E$2:$E$11)</formula>
    </cfRule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Srivarsha Thandra</dc:creator>
  <cp:lastModifiedBy>Srivarsha Thandra</cp:lastModifiedBy>
  <dcterms:created xsi:type="dcterms:W3CDTF">2026-05-08T06:21:42Z</dcterms:created>
  <dcterms:modified xsi:type="dcterms:W3CDTF">2026-05-08T06:57:03Z</dcterms:modified>
</cp:coreProperties>
</file>